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B1" sheetId="3" r:id="rId1"/>
    <sheet name="B2" sheetId="4" r:id="rId2"/>
    <sheet name="Điểm Lab1,2" sheetId="5" r:id="rId3"/>
    <sheet name="Điểm Lab3,4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HUYNHBAY</author>
  </authors>
  <commentList>
    <comment ref="B3" authorId="0">
      <text>
        <r>
          <rPr>
            <b/>
            <sz val="9"/>
            <rFont val="Tahoma"/>
            <charset val="134"/>
          </rPr>
          <t>HUYNHBAY:</t>
        </r>
        <r>
          <rPr>
            <sz val="9"/>
            <rFont val="Tahoma"/>
            <charset val="134"/>
          </rPr>
          <t xml:space="preserve">
Cột này lấy dữ liệu từ AP chép sang.</t>
        </r>
      </text>
    </comment>
    <comment ref="C3" authorId="0">
      <text>
        <r>
          <rPr>
            <b/>
            <sz val="9"/>
            <rFont val="Tahoma"/>
            <charset val="134"/>
          </rPr>
          <t>HUYNHBAY:</t>
        </r>
        <r>
          <rPr>
            <sz val="9"/>
            <rFont val="Tahoma"/>
            <charset val="134"/>
          </rPr>
          <t xml:space="preserve">
Cột này lấy dữ liệu từ AP chép sang.</t>
        </r>
      </text>
    </comment>
  </commentList>
</comments>
</file>

<file path=xl/sharedStrings.xml><?xml version="1.0" encoding="utf-8"?>
<sst xmlns="http://schemas.openxmlformats.org/spreadsheetml/2006/main" count="315" uniqueCount="159">
  <si>
    <t>THÔNG TIN PHỤ CẤP</t>
  </si>
  <si>
    <t>STT</t>
  </si>
  <si>
    <t>Mã NV</t>
  </si>
  <si>
    <t>Ten NV</t>
  </si>
  <si>
    <t>Giới tính</t>
  </si>
  <si>
    <t>Chức vụ</t>
  </si>
  <si>
    <t>Phòng ban</t>
  </si>
  <si>
    <t>Phụ cấp
chức vụ</t>
  </si>
  <si>
    <t>Tổng phụ cấp 
nhân viên Nữ</t>
  </si>
  <si>
    <t>Tổng phụ cấp nhân viên Nữ phòng Kinh doanh</t>
  </si>
  <si>
    <t>A</t>
  </si>
  <si>
    <t>Đinh Quang Vũ</t>
  </si>
  <si>
    <t>Nam</t>
  </si>
  <si>
    <t>GĐ</t>
  </si>
  <si>
    <t>B</t>
  </si>
  <si>
    <t>Nguyễn Khả Hân</t>
  </si>
  <si>
    <t>Nữ</t>
  </si>
  <si>
    <t>PGĐ</t>
  </si>
  <si>
    <t>C</t>
  </si>
  <si>
    <t>Phạm Ngọc Ánh Hồng</t>
  </si>
  <si>
    <t>NV</t>
  </si>
  <si>
    <t>Nguyễn Thảo Linh</t>
  </si>
  <si>
    <t>TP</t>
  </si>
  <si>
    <t>Lê Bá Hậu</t>
  </si>
  <si>
    <t>Lê Minh Tú</t>
  </si>
  <si>
    <t>Nguyễn Hoàng Nhân</t>
  </si>
  <si>
    <t>Nguyễn Hữu Chung</t>
  </si>
  <si>
    <t>Trần Thị Ngọc Trúc</t>
  </si>
  <si>
    <t>PP</t>
  </si>
  <si>
    <t>Nguyễn Trọng Hữu</t>
  </si>
  <si>
    <t>PHỤ CẤP CHỨC VỤ</t>
  </si>
  <si>
    <t>TÊN PHÒNG BAN</t>
  </si>
  <si>
    <t>CHỨC VỤ</t>
  </si>
  <si>
    <t>PHỤ CẤP</t>
  </si>
  <si>
    <t>MÃ</t>
  </si>
  <si>
    <t>Tên phòng</t>
  </si>
  <si>
    <t>Kế hoạch</t>
  </si>
  <si>
    <t>Hành chính</t>
  </si>
  <si>
    <t>Kinh doanh</t>
  </si>
  <si>
    <t>1) Dựa vào Mã NV dùng hàm tham chiếu đến bảng TÊN PHÒNG BAN điền thông tin vào cột Phòng ban tại bảng THÔNG TIN PHỤ CẤP</t>
  </si>
  <si>
    <t>2) Dựa vào chức vụ tham chiếu đến bảng PHỤ CẤP CHỨC VỤ điền thông tin vào cột Phu cấp chức vụ tại bảng THÔNG TIN PHỤ CẤP</t>
  </si>
  <si>
    <t>3) Tính tổng tiền phụ cấp của nhân viên Nữ</t>
  </si>
  <si>
    <t>4) Tính tổng tiền phụ cấp của nhân viên Nữ phòng Kinh Doanh</t>
  </si>
  <si>
    <t>TT</t>
  </si>
  <si>
    <t>MSSV</t>
  </si>
  <si>
    <t>Họ và tên</t>
  </si>
  <si>
    <t>Labs</t>
  </si>
  <si>
    <t>1</t>
  </si>
  <si>
    <t>2</t>
  </si>
  <si>
    <t>3</t>
  </si>
  <si>
    <t>4</t>
  </si>
  <si>
    <t>PS01885</t>
  </si>
  <si>
    <t>LÊ NGỌC TRUNG</t>
  </si>
  <si>
    <t>PS01892</t>
  </si>
  <si>
    <t>LÊ SĨ NGUYÊN</t>
  </si>
  <si>
    <t>PS02631</t>
  </si>
  <si>
    <t>Mai Nguyên Vỹ</t>
  </si>
  <si>
    <t>PS02765</t>
  </si>
  <si>
    <t>Phạm Đức Tuấn</t>
  </si>
  <si>
    <t>5</t>
  </si>
  <si>
    <t>PS03550</t>
  </si>
  <si>
    <t>Đinh Văn Ngọc Hùng</t>
  </si>
  <si>
    <t>6</t>
  </si>
  <si>
    <t>PS03782</t>
  </si>
  <si>
    <t>Đoàn Minh Nhựt</t>
  </si>
  <si>
    <t>7</t>
  </si>
  <si>
    <t>PS03945</t>
  </si>
  <si>
    <t>8</t>
  </si>
  <si>
    <t>PS03946</t>
  </si>
  <si>
    <t>Phạm Hữu Thịnh</t>
  </si>
  <si>
    <t>9</t>
  </si>
  <si>
    <t>PS03948</t>
  </si>
  <si>
    <t>Trần Thế Phước</t>
  </si>
  <si>
    <t>10</t>
  </si>
  <si>
    <t>PS03950</t>
  </si>
  <si>
    <t>Huỳnh Hữu Huy</t>
  </si>
  <si>
    <t>11</t>
  </si>
  <si>
    <t>PS03957</t>
  </si>
  <si>
    <t>12</t>
  </si>
  <si>
    <t>PS03964</t>
  </si>
  <si>
    <t>13</t>
  </si>
  <si>
    <t>PS03966</t>
  </si>
  <si>
    <t>14</t>
  </si>
  <si>
    <t>PS03974</t>
  </si>
  <si>
    <t>15</t>
  </si>
  <si>
    <t>PS03975</t>
  </si>
  <si>
    <t>Đinh Tú Thuận</t>
  </si>
  <si>
    <t>16</t>
  </si>
  <si>
    <t>PS03977</t>
  </si>
  <si>
    <t>Lê Nguyễn Trọng Hữu</t>
  </si>
  <si>
    <t>17</t>
  </si>
  <si>
    <t>PS03982</t>
  </si>
  <si>
    <t>Ngô Anh Tú</t>
  </si>
  <si>
    <t>18</t>
  </si>
  <si>
    <t>PS03983</t>
  </si>
  <si>
    <t>Nguyễn Văn Quang</t>
  </si>
  <si>
    <t>19</t>
  </si>
  <si>
    <t>PS03984</t>
  </si>
  <si>
    <t>Nguyễn Văn Linh</t>
  </si>
  <si>
    <t>20</t>
  </si>
  <si>
    <t>PS03988</t>
  </si>
  <si>
    <t>Hồ Trọng Tâm</t>
  </si>
  <si>
    <t>21</t>
  </si>
  <si>
    <t>PS03995</t>
  </si>
  <si>
    <t>Nguyễn Trần Minh Mẫn</t>
  </si>
  <si>
    <t>22</t>
  </si>
  <si>
    <t>PS03996</t>
  </si>
  <si>
    <t>Hoàng Công Dy</t>
  </si>
  <si>
    <t>23</t>
  </si>
  <si>
    <t>PS03999</t>
  </si>
  <si>
    <t>Nguyễn Huy Phú</t>
  </si>
  <si>
    <t>24</t>
  </si>
  <si>
    <t>PS04019</t>
  </si>
  <si>
    <t>Phạm Đình Quốc An</t>
  </si>
  <si>
    <t>25</t>
  </si>
  <si>
    <t>PS04030</t>
  </si>
  <si>
    <t>Cao Thế Mạnh</t>
  </si>
  <si>
    <t>26</t>
  </si>
  <si>
    <t>PS04032</t>
  </si>
  <si>
    <t>Phạm Hoài Thương</t>
  </si>
  <si>
    <t>27</t>
  </si>
  <si>
    <t>PS04035</t>
  </si>
  <si>
    <t>Lê Nhựt Quang</t>
  </si>
  <si>
    <t>28</t>
  </si>
  <si>
    <t>PS04044</t>
  </si>
  <si>
    <t>Nguyễn Minh Duyên</t>
  </si>
  <si>
    <t>29</t>
  </si>
  <si>
    <t>PS04049</t>
  </si>
  <si>
    <t>Nguyễn Phước Lộc</t>
  </si>
  <si>
    <t>30</t>
  </si>
  <si>
    <t>PS04055</t>
  </si>
  <si>
    <t>Trương Minh Trí</t>
  </si>
  <si>
    <t>31</t>
  </si>
  <si>
    <t>PS04058</t>
  </si>
  <si>
    <t>Vòng Tuấn Xương</t>
  </si>
  <si>
    <t>32</t>
  </si>
  <si>
    <t>PS04060</t>
  </si>
  <si>
    <t>Vu Vạn Quang</t>
  </si>
  <si>
    <t>33</t>
  </si>
  <si>
    <t>PS04066</t>
  </si>
  <si>
    <t>Hồ Xuân Huy</t>
  </si>
  <si>
    <t>34</t>
  </si>
  <si>
    <t>PS04069</t>
  </si>
  <si>
    <t>Lê Sỹ Thành</t>
  </si>
  <si>
    <t>35</t>
  </si>
  <si>
    <t>PS04071</t>
  </si>
  <si>
    <t>Trần Tường Duy</t>
  </si>
  <si>
    <t>36</t>
  </si>
  <si>
    <t>PS04074</t>
  </si>
  <si>
    <t>Huỳnh Thanh Sơn</t>
  </si>
  <si>
    <t>37</t>
  </si>
  <si>
    <t>PS04082</t>
  </si>
  <si>
    <t>Nguyễn Trần Phú</t>
  </si>
  <si>
    <t>Yêu cầu điền thông tin điểm cho bảng trên:</t>
  </si>
  <si>
    <t>Điểm lab 1,2 lấy từ sheet có tên Điểm Lab1,2</t>
  </si>
  <si>
    <t>Điểm lab 3,4 lấy từ sheet có tên Điểm Lab3,4</t>
  </si>
  <si>
    <t>Tính tổng số điểm lab 1 của các sinh viên có lab 2 trên 5</t>
  </si>
  <si>
    <t>Tính tổng số điểm lab 2 của các sinh viên có lab 3 và lab 4 trên 5</t>
  </si>
  <si>
    <t>Điểm LAB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</si>
</sst>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5">
    <font>
      <sz val="11"/>
      <color theme="1"/>
      <name val="Calibri"/>
      <charset val="134"/>
      <scheme val="minor"/>
    </font>
    <font>
      <b/>
      <sz val="10"/>
      <name val="Times New Roman"/>
      <charset val="134"/>
    </font>
    <font>
      <sz val="12"/>
      <color rgb="FF000000"/>
      <name val="Times New Roman"/>
      <charset val="134"/>
    </font>
    <font>
      <b/>
      <sz val="10"/>
      <color theme="1"/>
      <name val="Times New Roman"/>
      <charset val="134"/>
    </font>
    <font>
      <sz val="10"/>
      <name val="Times New Roman"/>
      <charset val="134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name val="Times New Roman"/>
      <charset val="134"/>
    </font>
    <font>
      <sz val="11"/>
      <color rgb="FF000000"/>
      <name val="Times New Roman"/>
      <charset val="134"/>
    </font>
    <font>
      <sz val="12"/>
      <color rgb="FFFF0000"/>
      <name val="Times New Roman"/>
      <charset val="134"/>
    </font>
    <font>
      <sz val="11"/>
      <color rgb="FFFF0000"/>
      <name val="Calibri"/>
      <charset val="134"/>
      <scheme val="minor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63"/>
      <scheme val="minor"/>
    </font>
    <font>
      <b/>
      <sz val="9"/>
      <name val="Tahoma"/>
      <charset val="134"/>
    </font>
    <font>
      <sz val="9"/>
      <name val="Tahoma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7030A0"/>
      </bottom>
      <diagonal/>
    </border>
    <border>
      <left style="thick">
        <color rgb="FF7030A0"/>
      </left>
      <right style="thick">
        <color rgb="FF7030A0"/>
      </right>
      <top style="thick">
        <color rgb="FF7030A0"/>
      </top>
      <bottom style="thick">
        <color rgb="FF7030A0"/>
      </bottom>
      <diagonal/>
    </border>
    <border>
      <left style="thick">
        <color rgb="FF00B0F0"/>
      </left>
      <right/>
      <top style="thick">
        <color rgb="FF00B0F0"/>
      </top>
      <bottom style="thick">
        <color rgb="FF00B0F0"/>
      </bottom>
      <diagonal/>
    </border>
    <border>
      <left/>
      <right style="thick">
        <color rgb="FF00B0F0"/>
      </right>
      <top style="thick">
        <color rgb="FF00B0F0"/>
      </top>
      <bottom style="thick">
        <color rgb="FF00B0F0"/>
      </bottom>
      <diagonal/>
    </border>
    <border>
      <left/>
      <right/>
      <top style="thick">
        <color rgb="FF00B0F0"/>
      </top>
      <bottom style="thick">
        <color rgb="FF00B0F0"/>
      </bottom>
      <diagonal/>
    </border>
    <border>
      <left style="thick">
        <color rgb="FF00B0F0"/>
      </left>
      <right style="thick">
        <color rgb="FF00B0F0"/>
      </right>
      <top style="thick">
        <color rgb="FF00B0F0"/>
      </top>
      <bottom style="thick">
        <color rgb="FF00B0F0"/>
      </bottom>
      <diagonal/>
    </border>
    <border>
      <left style="thick">
        <color rgb="FF00B0F0"/>
      </left>
      <right style="thick">
        <color rgb="FF00B0F0"/>
      </right>
      <top/>
      <bottom style="thick">
        <color rgb="FF00B0F0"/>
      </bottom>
      <diagonal/>
    </border>
    <border>
      <left style="thick">
        <color rgb="FF00B0F0"/>
      </left>
      <right style="thick">
        <color rgb="FF00B0F0"/>
      </right>
      <top style="thick">
        <color rgb="FF00B0F0"/>
      </top>
      <bottom style="thin">
        <color auto="1"/>
      </bottom>
      <diagonal/>
    </border>
    <border>
      <left/>
      <right style="thick">
        <color rgb="FF00B0F0"/>
      </right>
      <top/>
      <bottom style="thin">
        <color auto="1"/>
      </bottom>
      <diagonal/>
    </border>
    <border>
      <left style="thick">
        <color rgb="FF00B0F0"/>
      </left>
      <right style="thick">
        <color rgb="FF00B0F0"/>
      </right>
      <top style="thin">
        <color auto="1"/>
      </top>
      <bottom style="thick">
        <color rgb="FF00B0F0"/>
      </bottom>
      <diagonal/>
    </border>
    <border>
      <left/>
      <right style="thick">
        <color rgb="FF00B0F0"/>
      </right>
      <top style="thin">
        <color auto="1"/>
      </top>
      <bottom style="thick">
        <color rgb="FF00B0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2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27" applyNumberFormat="0" applyAlignment="0" applyProtection="0">
      <alignment vertical="center"/>
    </xf>
    <xf numFmtId="0" fontId="22" fillId="8" borderId="28" applyNumberFormat="0" applyAlignment="0" applyProtection="0">
      <alignment vertical="center"/>
    </xf>
    <xf numFmtId="0" fontId="23" fillId="8" borderId="27" applyNumberFormat="0" applyAlignment="0" applyProtection="0">
      <alignment vertical="center"/>
    </xf>
    <xf numFmtId="0" fontId="24" fillId="9" borderId="29" applyNumberFormat="0" applyAlignment="0" applyProtection="0">
      <alignment vertical="center"/>
    </xf>
    <xf numFmtId="0" fontId="25" fillId="0" borderId="30" applyNumberFormat="0" applyFill="0" applyAlignment="0" applyProtection="0">
      <alignment vertical="center"/>
    </xf>
    <xf numFmtId="0" fontId="26" fillId="0" borderId="31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/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/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" fillId="0" borderId="0"/>
    <xf numFmtId="0" fontId="32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49" applyBorder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" fontId="3" fillId="2" borderId="1" xfId="35" applyNumberFormat="1" applyFont="1" applyFill="1" applyBorder="1" applyAlignment="1">
      <alignment horizontal="center" vertical="center" wrapText="1"/>
    </xf>
    <xf numFmtId="1" fontId="1" fillId="2" borderId="1" xfId="27" applyNumberFormat="1" applyFont="1" applyFill="1" applyBorder="1" applyAlignment="1">
      <alignment horizontal="center" vertical="center" wrapText="1"/>
    </xf>
    <xf numFmtId="1" fontId="1" fillId="2" borderId="3" xfId="27" applyNumberFormat="1" applyFont="1" applyFill="1" applyBorder="1" applyAlignment="1">
      <alignment horizontal="center" vertical="center" wrapText="1"/>
    </xf>
    <xf numFmtId="178" fontId="4" fillId="0" borderId="8" xfId="0" applyNumberFormat="1" applyFont="1" applyBorder="1" applyAlignment="1">
      <alignment horizontal="center" vertical="center"/>
    </xf>
    <xf numFmtId="1" fontId="3" fillId="2" borderId="3" xfId="35" applyNumberFormat="1" applyFont="1" applyFill="1" applyBorder="1" applyAlignment="1">
      <alignment horizontal="center" vertical="center" wrapText="1"/>
    </xf>
    <xf numFmtId="0" fontId="2" fillId="0" borderId="9" xfId="49" applyBorder="1"/>
    <xf numFmtId="0" fontId="2" fillId="0" borderId="10" xfId="49" applyBorder="1"/>
    <xf numFmtId="0" fontId="1" fillId="3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1" fontId="1" fillId="3" borderId="1" xfId="27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1" fontId="1" fillId="3" borderId="3" xfId="27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" fontId="6" fillId="2" borderId="8" xfId="35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" fontId="5" fillId="2" borderId="1" xfId="27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1" fontId="5" fillId="2" borderId="3" xfId="27" applyNumberFormat="1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8" fillId="0" borderId="4" xfId="49" applyFont="1" applyBorder="1"/>
    <xf numFmtId="178" fontId="7" fillId="0" borderId="8" xfId="0" applyNumberFormat="1" applyFont="1" applyBorder="1" applyAlignment="1">
      <alignment horizontal="center" vertical="center"/>
    </xf>
    <xf numFmtId="0" fontId="8" fillId="0" borderId="9" xfId="49" applyFont="1" applyBorder="1"/>
    <xf numFmtId="0" fontId="8" fillId="0" borderId="10" xfId="49" applyFont="1" applyBorder="1"/>
    <xf numFmtId="0" fontId="9" fillId="0" borderId="0" xfId="49" applyFont="1"/>
    <xf numFmtId="0" fontId="10" fillId="0" borderId="0" xfId="0" applyFont="1"/>
    <xf numFmtId="0" fontId="2" fillId="0" borderId="0" xfId="49"/>
    <xf numFmtId="0" fontId="11" fillId="0" borderId="0" xfId="0" applyFont="1"/>
    <xf numFmtId="0" fontId="11" fillId="4" borderId="13" xfId="0" applyFont="1" applyFill="1" applyBorder="1" applyAlignment="1">
      <alignment horizontal="center"/>
    </xf>
    <xf numFmtId="0" fontId="11" fillId="5" borderId="14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/>
    </xf>
    <xf numFmtId="0" fontId="8" fillId="0" borderId="14" xfId="50" applyFont="1" applyBorder="1" applyAlignment="1">
      <alignment horizontal="left"/>
    </xf>
    <xf numFmtId="0" fontId="11" fillId="5" borderId="15" xfId="0" applyFont="1" applyFill="1" applyBorder="1" applyAlignment="1">
      <alignment horizontal="center" vertical="center"/>
    </xf>
    <xf numFmtId="0" fontId="11" fillId="5" borderId="16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/>
    </xf>
    <xf numFmtId="0" fontId="11" fillId="5" borderId="17" xfId="0" applyFont="1" applyFill="1" applyBorder="1" applyAlignment="1">
      <alignment horizontal="center"/>
    </xf>
    <xf numFmtId="0" fontId="11" fillId="0" borderId="1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9" xfId="0" applyFont="1" applyBorder="1"/>
    <xf numFmtId="0" fontId="11" fillId="0" borderId="18" xfId="0" applyFont="1" applyBorder="1"/>
    <xf numFmtId="0" fontId="11" fillId="0" borderId="1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5" borderId="16" xfId="0" applyFont="1" applyFill="1" applyBorder="1" applyAlignment="1">
      <alignment horizont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1" fontId="5" fillId="2" borderId="1" xfId="27" applyNumberFormat="1" applyFont="1" applyFill="1" applyBorder="1" applyAlignment="1" quotePrefix="1">
      <alignment horizontal="center" vertical="center" wrapText="1"/>
    </xf>
    <xf numFmtId="0" fontId="7" fillId="0" borderId="8" xfId="0" applyFont="1" applyBorder="1" applyAlignment="1" quotePrefix="1">
      <alignment horizontal="center" vertical="center"/>
    </xf>
    <xf numFmtId="1" fontId="1" fillId="3" borderId="1" xfId="27" applyNumberFormat="1" applyFont="1" applyFill="1" applyBorder="1" applyAlignment="1" quotePrefix="1">
      <alignment horizontal="center" vertical="center" wrapText="1"/>
    </xf>
    <xf numFmtId="1" fontId="1" fillId="2" borderId="1" xfId="27" applyNumberFormat="1" applyFont="1" applyFill="1" applyBorder="1" applyAlignment="1" quotePrefix="1">
      <alignment horizontal="center"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29"/>
  <sheetViews>
    <sheetView zoomScale="115" zoomScaleNormal="115" workbookViewId="0">
      <selection activeCell="F16" sqref="F16"/>
    </sheetView>
  </sheetViews>
  <sheetFormatPr defaultColWidth="9" defaultRowHeight="13.8"/>
  <cols>
    <col min="1" max="1" width="8.72222222222222" style="39"/>
    <col min="2" max="2" width="11.0925925925926" style="39" customWidth="1"/>
    <col min="3" max="3" width="20.7222222222222" style="39" customWidth="1"/>
    <col min="4" max="4" width="7.90740740740741" style="39" customWidth="1"/>
    <col min="5" max="5" width="8.72222222222222" style="39"/>
    <col min="6" max="6" width="19.2222222222222" style="39" customWidth="1"/>
    <col min="7" max="7" width="9.4537037037037" style="39" customWidth="1"/>
    <col min="8" max="8" width="15.9351851851852" style="39" customWidth="1"/>
    <col min="9" max="9" width="38.2592592592593" style="39" customWidth="1"/>
    <col min="10" max="10" width="9.81481481481481" style="39" customWidth="1"/>
    <col min="11" max="16384" width="8.72222222222222" style="39"/>
  </cols>
  <sheetData>
    <row r="2" ht="14.55" spans="3:5">
      <c r="C2" s="40" t="s">
        <v>0</v>
      </c>
      <c r="D2" s="40"/>
      <c r="E2" s="40"/>
    </row>
    <row r="3" ht="29.1" spans="1:9">
      <c r="A3" s="41" t="s">
        <v>1</v>
      </c>
      <c r="B3" s="41" t="s">
        <v>2</v>
      </c>
      <c r="C3" s="41" t="s">
        <v>3</v>
      </c>
      <c r="D3" s="41" t="s">
        <v>4</v>
      </c>
      <c r="E3" s="41" t="s">
        <v>5</v>
      </c>
      <c r="F3" s="41" t="s">
        <v>6</v>
      </c>
      <c r="G3" s="42" t="s">
        <v>7</v>
      </c>
      <c r="H3" s="42" t="s">
        <v>8</v>
      </c>
      <c r="I3" s="42" t="s">
        <v>9</v>
      </c>
    </row>
    <row r="4" ht="15.3" spans="1:9">
      <c r="A4" s="43">
        <v>1</v>
      </c>
      <c r="B4" s="43" t="s">
        <v>10</v>
      </c>
      <c r="C4" s="44" t="s">
        <v>11</v>
      </c>
      <c r="D4" s="44" t="s">
        <v>12</v>
      </c>
      <c r="E4" s="43" t="s">
        <v>13</v>
      </c>
      <c r="F4" s="43" t="str">
        <f>HLOOKUP(B4,$H$18:$J$19,2,0)</f>
        <v>Kế hoạch</v>
      </c>
      <c r="G4" s="43">
        <f>VLOOKUP(E4,$B$18:$C$23,2,0)</f>
        <v>5000000</v>
      </c>
      <c r="H4" s="43">
        <f>SUMIF($D$4:$D$13,"Nữ",G4:G13)</f>
        <v>7300000</v>
      </c>
      <c r="I4" s="43">
        <f>SUMIFS($G$4:$G$13,$D$4:$D$13,"Nữ",$F$4:$F$13,"Kinh doanh")</f>
        <v>3300000</v>
      </c>
    </row>
    <row r="5" ht="15.3" spans="1:7">
      <c r="A5" s="43">
        <v>2</v>
      </c>
      <c r="B5" s="43" t="s">
        <v>14</v>
      </c>
      <c r="C5" s="44" t="s">
        <v>15</v>
      </c>
      <c r="D5" s="44" t="s">
        <v>16</v>
      </c>
      <c r="E5" s="43" t="s">
        <v>17</v>
      </c>
      <c r="F5" s="43" t="str">
        <f t="shared" ref="F5:F13" si="0">HLOOKUP(B5,$H$18:$J$19,2,0)</f>
        <v>Hành chính</v>
      </c>
      <c r="G5" s="43">
        <f t="shared" ref="G5:G13" si="1">VLOOKUP(E5,$B$18:$C$23,2,0)</f>
        <v>4000000</v>
      </c>
    </row>
    <row r="6" ht="15.3" spans="1:7">
      <c r="A6" s="43">
        <v>3</v>
      </c>
      <c r="B6" s="43" t="s">
        <v>18</v>
      </c>
      <c r="C6" s="44" t="s">
        <v>19</v>
      </c>
      <c r="D6" s="44" t="s">
        <v>16</v>
      </c>
      <c r="E6" s="43" t="s">
        <v>20</v>
      </c>
      <c r="F6" s="43" t="str">
        <f t="shared" si="0"/>
        <v>Kinh doanh</v>
      </c>
      <c r="G6" s="43">
        <f t="shared" si="1"/>
        <v>1000000</v>
      </c>
    </row>
    <row r="7" ht="15.3" spans="1:7">
      <c r="A7" s="43">
        <v>4</v>
      </c>
      <c r="B7" s="43" t="s">
        <v>18</v>
      </c>
      <c r="C7" s="44" t="s">
        <v>21</v>
      </c>
      <c r="D7" s="44" t="s">
        <v>16</v>
      </c>
      <c r="E7" s="43" t="s">
        <v>22</v>
      </c>
      <c r="F7" s="43" t="str">
        <f t="shared" si="0"/>
        <v>Kinh doanh</v>
      </c>
      <c r="G7" s="43">
        <f t="shared" si="1"/>
        <v>300000</v>
      </c>
    </row>
    <row r="8" ht="15.3" spans="1:9">
      <c r="A8" s="43">
        <v>5</v>
      </c>
      <c r="B8" s="43" t="s">
        <v>10</v>
      </c>
      <c r="C8" s="44" t="s">
        <v>23</v>
      </c>
      <c r="D8" s="44" t="s">
        <v>12</v>
      </c>
      <c r="E8" s="43" t="s">
        <v>20</v>
      </c>
      <c r="F8" s="43" t="str">
        <f t="shared" si="0"/>
        <v>Kế hoạch</v>
      </c>
      <c r="G8" s="43">
        <f t="shared" si="1"/>
        <v>1000000</v>
      </c>
      <c r="I8" s="54"/>
    </row>
    <row r="9" ht="15.3" spans="1:7">
      <c r="A9" s="43">
        <v>6</v>
      </c>
      <c r="B9" s="43" t="s">
        <v>14</v>
      </c>
      <c r="C9" s="44" t="s">
        <v>24</v>
      </c>
      <c r="D9" s="44" t="s">
        <v>12</v>
      </c>
      <c r="E9" s="43" t="s">
        <v>17</v>
      </c>
      <c r="F9" s="43" t="str">
        <f t="shared" si="0"/>
        <v>Hành chính</v>
      </c>
      <c r="G9" s="43">
        <f t="shared" si="1"/>
        <v>4000000</v>
      </c>
    </row>
    <row r="10" ht="15.3" spans="1:7">
      <c r="A10" s="43">
        <v>7</v>
      </c>
      <c r="B10" s="43" t="s">
        <v>10</v>
      </c>
      <c r="C10" s="44" t="s">
        <v>25</v>
      </c>
      <c r="D10" s="44" t="s">
        <v>12</v>
      </c>
      <c r="E10" s="43" t="s">
        <v>17</v>
      </c>
      <c r="F10" s="43" t="str">
        <f t="shared" si="0"/>
        <v>Kế hoạch</v>
      </c>
      <c r="G10" s="43">
        <f t="shared" si="1"/>
        <v>4000000</v>
      </c>
    </row>
    <row r="11" ht="15.3" spans="1:7">
      <c r="A11" s="43">
        <v>8</v>
      </c>
      <c r="B11" s="43" t="s">
        <v>14</v>
      </c>
      <c r="C11" s="44" t="s">
        <v>26</v>
      </c>
      <c r="D11" s="44" t="s">
        <v>12</v>
      </c>
      <c r="E11" s="43" t="s">
        <v>20</v>
      </c>
      <c r="F11" s="43" t="str">
        <f t="shared" si="0"/>
        <v>Hành chính</v>
      </c>
      <c r="G11" s="43">
        <f t="shared" si="1"/>
        <v>1000000</v>
      </c>
    </row>
    <row r="12" ht="15.3" spans="1:7">
      <c r="A12" s="43">
        <v>9</v>
      </c>
      <c r="B12" s="43" t="s">
        <v>18</v>
      </c>
      <c r="C12" s="44" t="s">
        <v>27</v>
      </c>
      <c r="D12" s="44" t="s">
        <v>16</v>
      </c>
      <c r="E12" s="43" t="s">
        <v>28</v>
      </c>
      <c r="F12" s="43" t="str">
        <f t="shared" si="0"/>
        <v>Kinh doanh</v>
      </c>
      <c r="G12" s="43">
        <f t="shared" si="1"/>
        <v>2000000</v>
      </c>
    </row>
    <row r="13" ht="15.3" spans="1:7">
      <c r="A13" s="43">
        <v>10</v>
      </c>
      <c r="B13" s="43" t="s">
        <v>10</v>
      </c>
      <c r="C13" s="44" t="s">
        <v>29</v>
      </c>
      <c r="D13" s="44" t="s">
        <v>12</v>
      </c>
      <c r="E13" s="43" t="s">
        <v>17</v>
      </c>
      <c r="F13" s="43" t="str">
        <f t="shared" si="0"/>
        <v>Kế hoạch</v>
      </c>
      <c r="G13" s="43">
        <f t="shared" si="1"/>
        <v>4000000</v>
      </c>
    </row>
    <row r="14" ht="14.55"/>
    <row r="16" ht="14.55"/>
    <row r="17" ht="15.3" spans="2:10">
      <c r="B17" s="45" t="s">
        <v>30</v>
      </c>
      <c r="C17" s="46"/>
      <c r="G17" s="47" t="s">
        <v>31</v>
      </c>
      <c r="H17" s="48"/>
      <c r="I17" s="48"/>
      <c r="J17" s="55"/>
    </row>
    <row r="18" ht="15.3" spans="2:10">
      <c r="B18" s="49" t="s">
        <v>32</v>
      </c>
      <c r="C18" s="49" t="s">
        <v>33</v>
      </c>
      <c r="D18" s="50"/>
      <c r="G18" s="51" t="s">
        <v>34</v>
      </c>
      <c r="H18" s="49" t="s">
        <v>10</v>
      </c>
      <c r="I18" s="56" t="s">
        <v>14</v>
      </c>
      <c r="J18" s="57" t="s">
        <v>18</v>
      </c>
    </row>
    <row r="19" ht="15.3" spans="2:10">
      <c r="B19" s="52" t="s">
        <v>13</v>
      </c>
      <c r="C19" s="52">
        <v>5000000</v>
      </c>
      <c r="G19" s="51" t="s">
        <v>35</v>
      </c>
      <c r="H19" s="53" t="s">
        <v>36</v>
      </c>
      <c r="I19" s="58" t="s">
        <v>37</v>
      </c>
      <c r="J19" s="59" t="s">
        <v>38</v>
      </c>
    </row>
    <row r="20" ht="15.3" spans="2:3">
      <c r="B20" s="52" t="s">
        <v>17</v>
      </c>
      <c r="C20" s="52">
        <v>4000000</v>
      </c>
    </row>
    <row r="21" ht="15.3" spans="2:3">
      <c r="B21" s="52" t="s">
        <v>22</v>
      </c>
      <c r="C21" s="52">
        <v>300000</v>
      </c>
    </row>
    <row r="22" ht="15.3" spans="2:3">
      <c r="B22" s="52" t="s">
        <v>28</v>
      </c>
      <c r="C22" s="52">
        <v>2000000</v>
      </c>
    </row>
    <row r="23" ht="15.3" spans="2:3">
      <c r="B23" s="52" t="s">
        <v>20</v>
      </c>
      <c r="C23" s="52">
        <v>1000000</v>
      </c>
    </row>
    <row r="24" ht="14.55"/>
    <row r="26" spans="1:1">
      <c r="A26" s="39" t="s">
        <v>39</v>
      </c>
    </row>
    <row r="27" spans="1:1">
      <c r="A27" s="39" t="s">
        <v>40</v>
      </c>
    </row>
    <row r="28" spans="1:1">
      <c r="A28" s="39" t="s">
        <v>41</v>
      </c>
    </row>
    <row r="29" spans="1:1">
      <c r="A29" s="39" t="s">
        <v>42</v>
      </c>
    </row>
  </sheetData>
  <mergeCells count="3">
    <mergeCell ref="C2:E2"/>
    <mergeCell ref="B17:C17"/>
    <mergeCell ref="G17:J1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50"/>
  <sheetViews>
    <sheetView tabSelected="1" zoomScale="130" zoomScaleNormal="130" topLeftCell="A2" workbookViewId="0">
      <selection activeCell="H3" sqref="H3:H42"/>
    </sheetView>
  </sheetViews>
  <sheetFormatPr defaultColWidth="9" defaultRowHeight="14.4" outlineLevelCol="6"/>
  <cols>
    <col min="2" max="2" width="10.6296296296296" customWidth="1"/>
    <col min="3" max="3" width="22.3611111111111" customWidth="1"/>
    <col min="4" max="4" width="12.2222222222222" customWidth="1"/>
    <col min="5" max="5" width="11.2685185185185" customWidth="1"/>
    <col min="6" max="6" width="11.1018518518519" customWidth="1"/>
  </cols>
  <sheetData>
    <row r="3" spans="1:7">
      <c r="A3" s="22" t="s">
        <v>43</v>
      </c>
      <c r="B3" s="22" t="s">
        <v>44</v>
      </c>
      <c r="C3" s="23" t="s">
        <v>45</v>
      </c>
      <c r="D3" s="24" t="s">
        <v>46</v>
      </c>
      <c r="E3" s="24"/>
      <c r="F3" s="24"/>
      <c r="G3" s="24"/>
    </row>
    <row r="4" spans="1:7">
      <c r="A4" s="25"/>
      <c r="B4" s="25"/>
      <c r="C4" s="26"/>
      <c r="D4" s="60" t="s">
        <v>47</v>
      </c>
      <c r="E4" s="60" t="s">
        <v>48</v>
      </c>
      <c r="F4" s="60" t="s">
        <v>49</v>
      </c>
      <c r="G4" s="60" t="s">
        <v>50</v>
      </c>
    </row>
    <row r="5" spans="1:7">
      <c r="A5" s="28"/>
      <c r="B5" s="28"/>
      <c r="C5" s="29"/>
      <c r="D5" s="30"/>
      <c r="E5" s="30"/>
      <c r="F5" s="30"/>
      <c r="G5" s="30"/>
    </row>
    <row r="6" spans="1:7">
      <c r="A6" s="61" t="s">
        <v>47</v>
      </c>
      <c r="B6" s="32" t="s">
        <v>51</v>
      </c>
      <c r="C6" s="32" t="s">
        <v>52</v>
      </c>
      <c r="D6" s="33">
        <f>VLOOKUP(B6,'Điểm Lab1,2'!$A$4:$C$40,2,0)</f>
        <v>0</v>
      </c>
      <c r="E6" s="33">
        <f>VLOOKUP(B6,'Điểm Lab1,2'!$A$4:$C$40,3,0)</f>
        <v>0</v>
      </c>
      <c r="F6" s="33">
        <f>HLOOKUP(B6,'Điểm Lab3,4'!$D$2:$AN$5,3,0)</f>
        <v>0</v>
      </c>
      <c r="G6" s="33">
        <f>HLOOKUP(B6,'Điểm Lab3,4'!$D$2:$AN$5,4,0)</f>
        <v>0</v>
      </c>
    </row>
    <row r="7" spans="1:7">
      <c r="A7" s="61" t="s">
        <v>48</v>
      </c>
      <c r="B7" s="32" t="s">
        <v>53</v>
      </c>
      <c r="C7" s="32" t="s">
        <v>54</v>
      </c>
      <c r="D7" s="33">
        <f>VLOOKUP(B7,'Điểm Lab1,2'!$A$4:$C$40,2,0)</f>
        <v>0</v>
      </c>
      <c r="E7" s="33">
        <f>VLOOKUP(B7,'Điểm Lab1,2'!$A$4:$C$40,3,0)</f>
        <v>0</v>
      </c>
      <c r="F7" s="33">
        <f>HLOOKUP(B7,'Điểm Lab3,4'!$D$2:$AN$5,3,0)</f>
        <v>0</v>
      </c>
      <c r="G7" s="33">
        <f>HLOOKUP(B7,'Điểm Lab3,4'!$D$2:$AN$5,4,0)</f>
        <v>6</v>
      </c>
    </row>
    <row r="8" spans="1:7">
      <c r="A8" s="61" t="s">
        <v>49</v>
      </c>
      <c r="B8" s="32" t="s">
        <v>55</v>
      </c>
      <c r="C8" s="32" t="s">
        <v>56</v>
      </c>
      <c r="D8" s="33">
        <f>VLOOKUP(B8,'Điểm Lab1,2'!$A$4:$C$40,2,0)</f>
        <v>9</v>
      </c>
      <c r="E8" s="33">
        <f>VLOOKUP(B8,'Điểm Lab1,2'!$A$4:$C$40,3,0)</f>
        <v>8</v>
      </c>
      <c r="F8" s="33">
        <f>HLOOKUP(B8,'Điểm Lab3,4'!$D$2:$AN$5,3,0)</f>
        <v>7.5</v>
      </c>
      <c r="G8" s="33">
        <f>HLOOKUP(B8,'Điểm Lab3,4'!$D$2:$AN$5,4,0)</f>
        <v>9</v>
      </c>
    </row>
    <row r="9" spans="1:7">
      <c r="A9" s="61" t="s">
        <v>50</v>
      </c>
      <c r="B9" s="32" t="s">
        <v>57</v>
      </c>
      <c r="C9" s="32" t="s">
        <v>58</v>
      </c>
      <c r="D9" s="33">
        <f>VLOOKUP(B9,'Điểm Lab1,2'!$A$4:$C$40,2,0)</f>
        <v>8</v>
      </c>
      <c r="E9" s="33">
        <f>VLOOKUP(B9,'Điểm Lab1,2'!$A$4:$C$40,3,0)</f>
        <v>8</v>
      </c>
      <c r="F9" s="33">
        <f>HLOOKUP(B9,'Điểm Lab3,4'!$D$2:$AN$5,3,0)</f>
        <v>0</v>
      </c>
      <c r="G9" s="33">
        <f>HLOOKUP(B9,'Điểm Lab3,4'!$D$2:$AN$5,4,0)</f>
        <v>7</v>
      </c>
    </row>
    <row r="10" spans="1:7">
      <c r="A10" s="61" t="s">
        <v>59</v>
      </c>
      <c r="B10" s="32" t="s">
        <v>60</v>
      </c>
      <c r="C10" s="32" t="s">
        <v>61</v>
      </c>
      <c r="D10" s="33">
        <f>VLOOKUP(B10,'Điểm Lab1,2'!$A$4:$C$40,2,0)</f>
        <v>0</v>
      </c>
      <c r="E10" s="33">
        <f>VLOOKUP(B10,'Điểm Lab1,2'!$A$4:$C$40,3,0)</f>
        <v>0</v>
      </c>
      <c r="F10" s="33">
        <f>HLOOKUP(B10,'Điểm Lab3,4'!$D$2:$AN$5,3,0)</f>
        <v>0</v>
      </c>
      <c r="G10" s="33">
        <f>HLOOKUP(B10,'Điểm Lab3,4'!$D$2:$AN$5,4,0)</f>
        <v>0</v>
      </c>
    </row>
    <row r="11" spans="1:7">
      <c r="A11" s="61" t="s">
        <v>62</v>
      </c>
      <c r="B11" s="32" t="s">
        <v>63</v>
      </c>
      <c r="C11" s="32" t="s">
        <v>64</v>
      </c>
      <c r="D11" s="33">
        <f>VLOOKUP(B11,'Điểm Lab1,2'!$A$4:$C$40,2,0)</f>
        <v>0</v>
      </c>
      <c r="E11" s="33">
        <f>VLOOKUP(B11,'Điểm Lab1,2'!$A$4:$C$40,3,0)</f>
        <v>0</v>
      </c>
      <c r="F11" s="33">
        <f>HLOOKUP(B11,'Điểm Lab3,4'!$D$2:$AN$5,3,0)</f>
        <v>0</v>
      </c>
      <c r="G11" s="33">
        <f>HLOOKUP(B11,'Điểm Lab3,4'!$D$2:$AN$5,4,0)</f>
        <v>0</v>
      </c>
    </row>
    <row r="12" spans="1:7">
      <c r="A12" s="61" t="s">
        <v>65</v>
      </c>
      <c r="B12" s="32" t="s">
        <v>66</v>
      </c>
      <c r="C12" s="32" t="s">
        <v>11</v>
      </c>
      <c r="D12" s="33">
        <f>VLOOKUP(B12,'Điểm Lab1,2'!$A$4:$C$40,2,0)</f>
        <v>9</v>
      </c>
      <c r="E12" s="33">
        <f>VLOOKUP(B12,'Điểm Lab1,2'!$A$4:$C$40,3,0)</f>
        <v>8.5</v>
      </c>
      <c r="F12" s="33">
        <f>HLOOKUP(B12,'Điểm Lab3,4'!$D$2:$AN$5,3,0)</f>
        <v>7.5</v>
      </c>
      <c r="G12" s="33">
        <f>HLOOKUP(B12,'Điểm Lab3,4'!$D$2:$AN$5,4,0)</f>
        <v>7.5</v>
      </c>
    </row>
    <row r="13" spans="1:7">
      <c r="A13" s="61" t="s">
        <v>67</v>
      </c>
      <c r="B13" s="32" t="s">
        <v>68</v>
      </c>
      <c r="C13" s="32" t="s">
        <v>69</v>
      </c>
      <c r="D13" s="33">
        <f>VLOOKUP(B13,'Điểm Lab1,2'!$A$4:$C$40,2,0)</f>
        <v>9</v>
      </c>
      <c r="E13" s="33">
        <f>VLOOKUP(B13,'Điểm Lab1,2'!$A$4:$C$40,3,0)</f>
        <v>7</v>
      </c>
      <c r="F13" s="33">
        <f>HLOOKUP(B13,'Điểm Lab3,4'!$D$2:$AN$5,3,0)</f>
        <v>9.5</v>
      </c>
      <c r="G13" s="33">
        <f>HLOOKUP(B13,'Điểm Lab3,4'!$D$2:$AN$5,4,0)</f>
        <v>8.5</v>
      </c>
    </row>
    <row r="14" spans="1:7">
      <c r="A14" s="61" t="s">
        <v>70</v>
      </c>
      <c r="B14" s="32" t="s">
        <v>71</v>
      </c>
      <c r="C14" s="32" t="s">
        <v>72</v>
      </c>
      <c r="D14" s="33">
        <f>VLOOKUP(B14,'Điểm Lab1,2'!$A$4:$C$40,2,0)</f>
        <v>0</v>
      </c>
      <c r="E14" s="33">
        <f>VLOOKUP(B14,'Điểm Lab1,2'!$A$4:$C$40,3,0)</f>
        <v>8</v>
      </c>
      <c r="F14" s="33">
        <f>HLOOKUP(B14,'Điểm Lab3,4'!$D$2:$AN$5,3,0)</f>
        <v>9</v>
      </c>
      <c r="G14" s="33">
        <f>HLOOKUP(B14,'Điểm Lab3,4'!$D$2:$AN$5,4,0)</f>
        <v>8</v>
      </c>
    </row>
    <row r="15" spans="1:7">
      <c r="A15" s="61" t="s">
        <v>73</v>
      </c>
      <c r="B15" s="32" t="s">
        <v>74</v>
      </c>
      <c r="C15" s="32" t="s">
        <v>75</v>
      </c>
      <c r="D15" s="33">
        <f>VLOOKUP(B15,'Điểm Lab1,2'!$A$4:$C$40,2,0)</f>
        <v>8</v>
      </c>
      <c r="E15" s="33">
        <f>VLOOKUP(B15,'Điểm Lab1,2'!$A$4:$C$40,3,0)</f>
        <v>8</v>
      </c>
      <c r="F15" s="33">
        <f>HLOOKUP(B15,'Điểm Lab3,4'!$D$2:$AN$5,3,0)</f>
        <v>9.5</v>
      </c>
      <c r="G15" s="33">
        <f>HLOOKUP(B15,'Điểm Lab3,4'!$D$2:$AN$5,4,0)</f>
        <v>9.5</v>
      </c>
    </row>
    <row r="16" spans="1:7">
      <c r="A16" s="61" t="s">
        <v>76</v>
      </c>
      <c r="B16" s="32" t="s">
        <v>77</v>
      </c>
      <c r="C16" s="32" t="s">
        <v>23</v>
      </c>
      <c r="D16" s="33">
        <f>VLOOKUP(B16,'Điểm Lab1,2'!$A$4:$C$40,2,0)</f>
        <v>0</v>
      </c>
      <c r="E16" s="33">
        <f>VLOOKUP(B16,'Điểm Lab1,2'!$A$4:$C$40,3,0)</f>
        <v>0</v>
      </c>
      <c r="F16" s="33">
        <f>HLOOKUP(B16,'Điểm Lab3,4'!$D$2:$AN$5,3,0)</f>
        <v>0</v>
      </c>
      <c r="G16" s="33">
        <f>HLOOKUP(B16,'Điểm Lab3,4'!$D$2:$AN$5,4,0)</f>
        <v>0</v>
      </c>
    </row>
    <row r="17" spans="1:7">
      <c r="A17" s="61" t="s">
        <v>78</v>
      </c>
      <c r="B17" s="32" t="s">
        <v>79</v>
      </c>
      <c r="C17" s="32" t="s">
        <v>24</v>
      </c>
      <c r="D17" s="33">
        <f>VLOOKUP(B17,'Điểm Lab1,2'!$A$4:$C$40,2,0)</f>
        <v>8</v>
      </c>
      <c r="E17" s="33">
        <f>VLOOKUP(B17,'Điểm Lab1,2'!$A$4:$C$40,3,0)</f>
        <v>5</v>
      </c>
      <c r="F17" s="33">
        <f>HLOOKUP(B17,'Điểm Lab3,4'!$D$2:$AN$5,3,0)</f>
        <v>0</v>
      </c>
      <c r="G17" s="33">
        <f>HLOOKUP(B17,'Điểm Lab3,4'!$D$2:$AN$5,4,0)</f>
        <v>9</v>
      </c>
    </row>
    <row r="18" spans="1:7">
      <c r="A18" s="61" t="s">
        <v>80</v>
      </c>
      <c r="B18" s="32" t="s">
        <v>81</v>
      </c>
      <c r="C18" s="32" t="s">
        <v>25</v>
      </c>
      <c r="D18" s="33">
        <f>VLOOKUP(B18,'Điểm Lab1,2'!$A$4:$C$40,2,0)</f>
        <v>9.5</v>
      </c>
      <c r="E18" s="33">
        <f>VLOOKUP(B18,'Điểm Lab1,2'!$A$4:$C$40,3,0)</f>
        <v>8.5</v>
      </c>
      <c r="F18" s="33">
        <f>HLOOKUP(B18,'Điểm Lab3,4'!$D$2:$AN$5,3,0)</f>
        <v>8</v>
      </c>
      <c r="G18" s="33">
        <f>HLOOKUP(B18,'Điểm Lab3,4'!$D$2:$AN$5,4,0)</f>
        <v>9</v>
      </c>
    </row>
    <row r="19" spans="1:7">
      <c r="A19" s="61" t="s">
        <v>82</v>
      </c>
      <c r="B19" s="32" t="s">
        <v>83</v>
      </c>
      <c r="C19" s="32" t="s">
        <v>26</v>
      </c>
      <c r="D19" s="33">
        <f>VLOOKUP(B19,'Điểm Lab1,2'!$A$4:$C$40,2,0)</f>
        <v>0</v>
      </c>
      <c r="E19" s="33">
        <f>VLOOKUP(B19,'Điểm Lab1,2'!$A$4:$C$40,3,0)</f>
        <v>0</v>
      </c>
      <c r="F19" s="33">
        <f>HLOOKUP(B19,'Điểm Lab3,4'!$D$2:$AN$5,3,0)</f>
        <v>0</v>
      </c>
      <c r="G19" s="33">
        <f>HLOOKUP(B19,'Điểm Lab3,4'!$D$2:$AN$5,4,0)</f>
        <v>0</v>
      </c>
    </row>
    <row r="20" spans="1:7">
      <c r="A20" s="61" t="s">
        <v>84</v>
      </c>
      <c r="B20" s="32" t="s">
        <v>85</v>
      </c>
      <c r="C20" s="32" t="s">
        <v>86</v>
      </c>
      <c r="D20" s="33">
        <f>VLOOKUP(B20,'Điểm Lab1,2'!$A$4:$C$40,2,0)</f>
        <v>7.5</v>
      </c>
      <c r="E20" s="33">
        <f>VLOOKUP(B20,'Điểm Lab1,2'!$A$4:$C$40,3,0)</f>
        <v>7</v>
      </c>
      <c r="F20" s="33">
        <f>HLOOKUP(B20,'Điểm Lab3,4'!$D$2:$AN$5,3,0)</f>
        <v>7.5</v>
      </c>
      <c r="G20" s="33">
        <f>HLOOKUP(B20,'Điểm Lab3,4'!$D$2:$AN$5,4,0)</f>
        <v>5</v>
      </c>
    </row>
    <row r="21" spans="1:7">
      <c r="A21" s="61" t="s">
        <v>87</v>
      </c>
      <c r="B21" s="32" t="s">
        <v>88</v>
      </c>
      <c r="C21" s="32" t="s">
        <v>89</v>
      </c>
      <c r="D21" s="33">
        <f>VLOOKUP(B21,'Điểm Lab1,2'!$A$4:$C$40,2,0)</f>
        <v>9</v>
      </c>
      <c r="E21" s="33">
        <f>VLOOKUP(B21,'Điểm Lab1,2'!$A$4:$C$40,3,0)</f>
        <v>8</v>
      </c>
      <c r="F21" s="33">
        <f>HLOOKUP(B21,'Điểm Lab3,4'!$D$2:$AN$5,3,0)</f>
        <v>8</v>
      </c>
      <c r="G21" s="33">
        <f>HLOOKUP(B21,'Điểm Lab3,4'!$D$2:$AN$5,4,0)</f>
        <v>9.5</v>
      </c>
    </row>
    <row r="22" spans="1:7">
      <c r="A22" s="61" t="s">
        <v>90</v>
      </c>
      <c r="B22" s="32" t="s">
        <v>91</v>
      </c>
      <c r="C22" s="32" t="s">
        <v>92</v>
      </c>
      <c r="D22" s="33">
        <f>VLOOKUP(B22,'Điểm Lab1,2'!$A$4:$C$40,2,0)</f>
        <v>7.5</v>
      </c>
      <c r="E22" s="33">
        <f>VLOOKUP(B22,'Điểm Lab1,2'!$A$4:$C$40,3,0)</f>
        <v>8</v>
      </c>
      <c r="F22" s="33">
        <f>HLOOKUP(B22,'Điểm Lab3,4'!$D$2:$AN$5,3,0)</f>
        <v>7.5</v>
      </c>
      <c r="G22" s="33">
        <f>HLOOKUP(B22,'Điểm Lab3,4'!$D$2:$AN$5,4,0)</f>
        <v>8.5</v>
      </c>
    </row>
    <row r="23" spans="1:7">
      <c r="A23" s="61" t="s">
        <v>93</v>
      </c>
      <c r="B23" s="32" t="s">
        <v>94</v>
      </c>
      <c r="C23" s="32" t="s">
        <v>95</v>
      </c>
      <c r="D23" s="33">
        <f>VLOOKUP(B23,'Điểm Lab1,2'!$A$4:$C$40,2,0)</f>
        <v>7.5</v>
      </c>
      <c r="E23" s="33">
        <f>VLOOKUP(B23,'Điểm Lab1,2'!$A$4:$C$40,3,0)</f>
        <v>5.5</v>
      </c>
      <c r="F23" s="33">
        <f>HLOOKUP(B23,'Điểm Lab3,4'!$D$2:$AN$5,3,0)</f>
        <v>0</v>
      </c>
      <c r="G23" s="33">
        <f>HLOOKUP(B23,'Điểm Lab3,4'!$D$2:$AN$5,4,0)</f>
        <v>6.5</v>
      </c>
    </row>
    <row r="24" spans="1:7">
      <c r="A24" s="61" t="s">
        <v>96</v>
      </c>
      <c r="B24" s="32" t="s">
        <v>97</v>
      </c>
      <c r="C24" s="32" t="s">
        <v>98</v>
      </c>
      <c r="D24" s="33">
        <f>VLOOKUP(B24,'Điểm Lab1,2'!$A$4:$C$40,2,0)</f>
        <v>9</v>
      </c>
      <c r="E24" s="33">
        <f>VLOOKUP(B24,'Điểm Lab1,2'!$A$4:$C$40,3,0)</f>
        <v>9</v>
      </c>
      <c r="F24" s="33">
        <f>HLOOKUP(B24,'Điểm Lab3,4'!$D$2:$AN$5,3,0)</f>
        <v>10</v>
      </c>
      <c r="G24" s="33">
        <f>HLOOKUP(B24,'Điểm Lab3,4'!$D$2:$AN$5,4,0)</f>
        <v>9.5</v>
      </c>
    </row>
    <row r="25" spans="1:7">
      <c r="A25" s="61" t="s">
        <v>99</v>
      </c>
      <c r="B25" s="32" t="s">
        <v>100</v>
      </c>
      <c r="C25" s="32" t="s">
        <v>101</v>
      </c>
      <c r="D25" s="33">
        <f>VLOOKUP(B25,'Điểm Lab1,2'!$A$4:$C$40,2,0)</f>
        <v>8</v>
      </c>
      <c r="E25" s="33">
        <f>VLOOKUP(B25,'Điểm Lab1,2'!$A$4:$C$40,3,0)</f>
        <v>8</v>
      </c>
      <c r="F25" s="33">
        <f>HLOOKUP(B25,'Điểm Lab3,4'!$D$2:$AN$5,3,0)</f>
        <v>7.5</v>
      </c>
      <c r="G25" s="33">
        <f>HLOOKUP(B25,'Điểm Lab3,4'!$D$2:$AN$5,4,0)</f>
        <v>7.5</v>
      </c>
    </row>
    <row r="26" spans="1:7">
      <c r="A26" s="61" t="s">
        <v>102</v>
      </c>
      <c r="B26" s="32" t="s">
        <v>103</v>
      </c>
      <c r="C26" s="32" t="s">
        <v>104</v>
      </c>
      <c r="D26" s="33">
        <f>VLOOKUP(B26,'Điểm Lab1,2'!$A$4:$C$40,2,0)</f>
        <v>0</v>
      </c>
      <c r="E26" s="33">
        <f>VLOOKUP(B26,'Điểm Lab1,2'!$A$4:$C$40,3,0)</f>
        <v>0</v>
      </c>
      <c r="F26" s="33">
        <f>HLOOKUP(B26,'Điểm Lab3,4'!$D$2:$AN$5,3,0)</f>
        <v>0</v>
      </c>
      <c r="G26" s="33">
        <f>HLOOKUP(B26,'Điểm Lab3,4'!$D$2:$AN$5,4,0)</f>
        <v>0</v>
      </c>
    </row>
    <row r="27" spans="1:7">
      <c r="A27" s="61" t="s">
        <v>105</v>
      </c>
      <c r="B27" s="32" t="s">
        <v>106</v>
      </c>
      <c r="C27" s="32" t="s">
        <v>107</v>
      </c>
      <c r="D27" s="33">
        <f>VLOOKUP(B27,'Điểm Lab1,2'!$A$4:$C$40,2,0)</f>
        <v>8.5</v>
      </c>
      <c r="E27" s="33">
        <f>VLOOKUP(B27,'Điểm Lab1,2'!$A$4:$C$40,3,0)</f>
        <v>8.5</v>
      </c>
      <c r="F27" s="33">
        <f>HLOOKUP(B27,'Điểm Lab3,4'!$D$2:$AN$5,3,0)</f>
        <v>8</v>
      </c>
      <c r="G27" s="33">
        <f>HLOOKUP(B27,'Điểm Lab3,4'!$D$2:$AN$5,4,0)</f>
        <v>8.5</v>
      </c>
    </row>
    <row r="28" spans="1:7">
      <c r="A28" s="61" t="s">
        <v>108</v>
      </c>
      <c r="B28" s="32" t="s">
        <v>109</v>
      </c>
      <c r="C28" s="32" t="s">
        <v>110</v>
      </c>
      <c r="D28" s="33">
        <f>VLOOKUP(B28,'Điểm Lab1,2'!$A$4:$C$40,2,0)</f>
        <v>7</v>
      </c>
      <c r="E28" s="33">
        <f>VLOOKUP(B28,'Điểm Lab1,2'!$A$4:$C$40,3,0)</f>
        <v>6.5</v>
      </c>
      <c r="F28" s="33">
        <f>HLOOKUP(B28,'Điểm Lab3,4'!$D$2:$AN$5,3,0)</f>
        <v>0</v>
      </c>
      <c r="G28" s="33">
        <f>HLOOKUP(B28,'Điểm Lab3,4'!$D$2:$AN$5,4,0)</f>
        <v>0</v>
      </c>
    </row>
    <row r="29" spans="1:7">
      <c r="A29" s="61" t="s">
        <v>111</v>
      </c>
      <c r="B29" s="32" t="s">
        <v>112</v>
      </c>
      <c r="C29" s="32" t="s">
        <v>113</v>
      </c>
      <c r="D29" s="33">
        <f>VLOOKUP(B29,'Điểm Lab1,2'!$A$4:$C$40,2,0)</f>
        <v>8</v>
      </c>
      <c r="E29" s="33">
        <f>VLOOKUP(B29,'Điểm Lab1,2'!$A$4:$C$40,3,0)</f>
        <v>6.5</v>
      </c>
      <c r="F29" s="33">
        <f>HLOOKUP(B29,'Điểm Lab3,4'!$D$2:$AN$5,3,0)</f>
        <v>0</v>
      </c>
      <c r="G29" s="33">
        <f>HLOOKUP(B29,'Điểm Lab3,4'!$D$2:$AN$5,4,0)</f>
        <v>0</v>
      </c>
    </row>
    <row r="30" spans="1:7">
      <c r="A30" s="61" t="s">
        <v>114</v>
      </c>
      <c r="B30" s="32" t="s">
        <v>115</v>
      </c>
      <c r="C30" s="32" t="s">
        <v>116</v>
      </c>
      <c r="D30" s="33">
        <f>VLOOKUP(B30,'Điểm Lab1,2'!$A$4:$C$40,2,0)</f>
        <v>8</v>
      </c>
      <c r="E30" s="33">
        <f>VLOOKUP(B30,'Điểm Lab1,2'!$A$4:$C$40,3,0)</f>
        <v>0</v>
      </c>
      <c r="F30" s="33">
        <f>HLOOKUP(B30,'Điểm Lab3,4'!$D$2:$AN$5,3,0)</f>
        <v>0</v>
      </c>
      <c r="G30" s="33">
        <f>HLOOKUP(B30,'Điểm Lab3,4'!$D$2:$AN$5,4,0)</f>
        <v>8</v>
      </c>
    </row>
    <row r="31" spans="1:7">
      <c r="A31" s="61" t="s">
        <v>117</v>
      </c>
      <c r="B31" s="32" t="s">
        <v>118</v>
      </c>
      <c r="C31" s="32" t="s">
        <v>119</v>
      </c>
      <c r="D31" s="33">
        <f>VLOOKUP(B31,'Điểm Lab1,2'!$A$4:$C$40,2,0)</f>
        <v>8</v>
      </c>
      <c r="E31" s="33">
        <f>VLOOKUP(B31,'Điểm Lab1,2'!$A$4:$C$40,3,0)</f>
        <v>6</v>
      </c>
      <c r="F31" s="33">
        <f>HLOOKUP(B31,'Điểm Lab3,4'!$D$2:$AN$5,3,0)</f>
        <v>7.5</v>
      </c>
      <c r="G31" s="33">
        <f>HLOOKUP(B31,'Điểm Lab3,4'!$D$2:$AN$5,4,0)</f>
        <v>7</v>
      </c>
    </row>
    <row r="32" spans="1:7">
      <c r="A32" s="61" t="s">
        <v>120</v>
      </c>
      <c r="B32" s="32" t="s">
        <v>121</v>
      </c>
      <c r="C32" s="32" t="s">
        <v>122</v>
      </c>
      <c r="D32" s="33">
        <f>VLOOKUP(B32,'Điểm Lab1,2'!$A$4:$C$40,2,0)</f>
        <v>0</v>
      </c>
      <c r="E32" s="33">
        <f>VLOOKUP(B32,'Điểm Lab1,2'!$A$4:$C$40,3,0)</f>
        <v>5.5</v>
      </c>
      <c r="F32" s="33">
        <f>HLOOKUP(B32,'Điểm Lab3,4'!$D$2:$AN$5,3,0)</f>
        <v>0</v>
      </c>
      <c r="G32" s="33">
        <f>HLOOKUP(B32,'Điểm Lab3,4'!$D$2:$AN$5,4,0)</f>
        <v>6</v>
      </c>
    </row>
    <row r="33" spans="1:7">
      <c r="A33" s="61" t="s">
        <v>123</v>
      </c>
      <c r="B33" s="32" t="s">
        <v>124</v>
      </c>
      <c r="C33" s="32" t="s">
        <v>125</v>
      </c>
      <c r="D33" s="33">
        <f>VLOOKUP(B33,'Điểm Lab1,2'!$A$4:$C$40,2,0)</f>
        <v>8.5</v>
      </c>
      <c r="E33" s="33">
        <f>VLOOKUP(B33,'Điểm Lab1,2'!$A$4:$C$40,3,0)</f>
        <v>9.5</v>
      </c>
      <c r="F33" s="33">
        <f>HLOOKUP(B33,'Điểm Lab3,4'!$D$2:$AN$5,3,0)</f>
        <v>10</v>
      </c>
      <c r="G33" s="33">
        <f>HLOOKUP(B33,'Điểm Lab3,4'!$D$2:$AN$5,4,0)</f>
        <v>9</v>
      </c>
    </row>
    <row r="34" spans="1:7">
      <c r="A34" s="61" t="s">
        <v>126</v>
      </c>
      <c r="B34" s="32" t="s">
        <v>127</v>
      </c>
      <c r="C34" s="32" t="s">
        <v>128</v>
      </c>
      <c r="D34" s="33">
        <f>VLOOKUP(B34,'Điểm Lab1,2'!$A$4:$C$40,2,0)</f>
        <v>8.5</v>
      </c>
      <c r="E34" s="33">
        <f>VLOOKUP(B34,'Điểm Lab1,2'!$A$4:$C$40,3,0)</f>
        <v>7</v>
      </c>
      <c r="F34" s="33">
        <f>HLOOKUP(B34,'Điểm Lab3,4'!$D$2:$AN$5,3,0)</f>
        <v>6</v>
      </c>
      <c r="G34" s="33">
        <f>HLOOKUP(B34,'Điểm Lab3,4'!$D$2:$AN$5,4,0)</f>
        <v>8.5</v>
      </c>
    </row>
    <row r="35" spans="1:7">
      <c r="A35" s="61" t="s">
        <v>129</v>
      </c>
      <c r="B35" s="32" t="s">
        <v>130</v>
      </c>
      <c r="C35" s="32" t="s">
        <v>131</v>
      </c>
      <c r="D35" s="33">
        <f>VLOOKUP(B35,'Điểm Lab1,2'!$A$4:$C$40,2,0)</f>
        <v>7</v>
      </c>
      <c r="E35" s="33">
        <f>VLOOKUP(B35,'Điểm Lab1,2'!$A$4:$C$40,3,0)</f>
        <v>7.5</v>
      </c>
      <c r="F35" s="33">
        <f>HLOOKUP(B35,'Điểm Lab3,4'!$D$2:$AN$5,3,0)</f>
        <v>6</v>
      </c>
      <c r="G35" s="33">
        <f>HLOOKUP(B35,'Điểm Lab3,4'!$D$2:$AN$5,4,0)</f>
        <v>7</v>
      </c>
    </row>
    <row r="36" spans="1:7">
      <c r="A36" s="61" t="s">
        <v>132</v>
      </c>
      <c r="B36" s="32" t="s">
        <v>133</v>
      </c>
      <c r="C36" s="32" t="s">
        <v>134</v>
      </c>
      <c r="D36" s="33">
        <f>VLOOKUP(B36,'Điểm Lab1,2'!$A$4:$C$40,2,0)</f>
        <v>9</v>
      </c>
      <c r="E36" s="33">
        <f>VLOOKUP(B36,'Điểm Lab1,2'!$A$4:$C$40,3,0)</f>
        <v>6</v>
      </c>
      <c r="F36" s="33">
        <f>HLOOKUP(B36,'Điểm Lab3,4'!$D$2:$AN$5,3,0)</f>
        <v>0</v>
      </c>
      <c r="G36" s="33">
        <f>HLOOKUP(B36,'Điểm Lab3,4'!$D$2:$AN$5,4,0)</f>
        <v>8.5</v>
      </c>
    </row>
    <row r="37" spans="1:7">
      <c r="A37" s="61" t="s">
        <v>135</v>
      </c>
      <c r="B37" s="32" t="s">
        <v>136</v>
      </c>
      <c r="C37" s="32" t="s">
        <v>137</v>
      </c>
      <c r="D37" s="33">
        <f>VLOOKUP(B37,'Điểm Lab1,2'!$A$4:$C$40,2,0)</f>
        <v>8.5</v>
      </c>
      <c r="E37" s="33">
        <f>VLOOKUP(B37,'Điểm Lab1,2'!$A$4:$C$40,3,0)</f>
        <v>6</v>
      </c>
      <c r="F37" s="33">
        <f>HLOOKUP(B37,'Điểm Lab3,4'!$D$2:$AN$5,3,0)</f>
        <v>8</v>
      </c>
      <c r="G37" s="33">
        <f>HLOOKUP(B37,'Điểm Lab3,4'!$D$2:$AN$5,4,0)</f>
        <v>9</v>
      </c>
    </row>
    <row r="38" spans="1:7">
      <c r="A38" s="61" t="s">
        <v>138</v>
      </c>
      <c r="B38" s="32" t="s">
        <v>139</v>
      </c>
      <c r="C38" s="32" t="s">
        <v>140</v>
      </c>
      <c r="D38" s="33">
        <f>VLOOKUP(B38,'Điểm Lab1,2'!$A$4:$C$40,2,0)</f>
        <v>8.5</v>
      </c>
      <c r="E38" s="33">
        <f>VLOOKUP(B38,'Điểm Lab1,2'!$A$4:$C$40,3,0)</f>
        <v>7.5</v>
      </c>
      <c r="F38" s="33">
        <f>HLOOKUP(B38,'Điểm Lab3,4'!$D$2:$AN$5,3,0)</f>
        <v>5.5</v>
      </c>
      <c r="G38" s="33">
        <f>HLOOKUP(B38,'Điểm Lab3,4'!$D$2:$AN$5,4,0)</f>
        <v>8</v>
      </c>
    </row>
    <row r="39" spans="1:7">
      <c r="A39" s="61" t="s">
        <v>141</v>
      </c>
      <c r="B39" s="34" t="s">
        <v>142</v>
      </c>
      <c r="C39" s="35" t="s">
        <v>143</v>
      </c>
      <c r="D39" s="33">
        <f>VLOOKUP(B39,'Điểm Lab1,2'!$A$4:$C$40,2,0)</f>
        <v>8</v>
      </c>
      <c r="E39" s="33">
        <f>VLOOKUP(B39,'Điểm Lab1,2'!$A$4:$C$40,3,0)</f>
        <v>0</v>
      </c>
      <c r="F39" s="33">
        <f>HLOOKUP(B39,'Điểm Lab3,4'!$D$2:$AN$5,3,0)</f>
        <v>0</v>
      </c>
      <c r="G39" s="33">
        <f>HLOOKUP(B39,'Điểm Lab3,4'!$D$2:$AN$5,4,0)</f>
        <v>8</v>
      </c>
    </row>
    <row r="40" spans="1:7">
      <c r="A40" s="61" t="s">
        <v>144</v>
      </c>
      <c r="B40" s="34" t="s">
        <v>145</v>
      </c>
      <c r="C40" s="35" t="s">
        <v>146</v>
      </c>
      <c r="D40" s="33">
        <f>VLOOKUP(B40,'Điểm Lab1,2'!$A$4:$C$40,2,0)</f>
        <v>9</v>
      </c>
      <c r="E40" s="33">
        <f>VLOOKUP(B40,'Điểm Lab1,2'!$A$4:$C$40,3,0)</f>
        <v>6.5</v>
      </c>
      <c r="F40" s="33">
        <f>HLOOKUP(B40,'Điểm Lab3,4'!$D$2:$AN$5,3,0)</f>
        <v>0</v>
      </c>
      <c r="G40" s="33">
        <f>HLOOKUP(B40,'Điểm Lab3,4'!$D$2:$AN$5,4,0)</f>
        <v>8</v>
      </c>
    </row>
    <row r="41" spans="1:7">
      <c r="A41" s="61" t="s">
        <v>147</v>
      </c>
      <c r="B41" s="34" t="s">
        <v>148</v>
      </c>
      <c r="C41" s="35" t="s">
        <v>149</v>
      </c>
      <c r="D41" s="33">
        <f>VLOOKUP(B41,'Điểm Lab1,2'!$A$4:$C$40,2,0)</f>
        <v>8</v>
      </c>
      <c r="E41" s="33">
        <f>VLOOKUP(B41,'Điểm Lab1,2'!$A$4:$C$40,3,0)</f>
        <v>6</v>
      </c>
      <c r="F41" s="33">
        <f>HLOOKUP(B41,'Điểm Lab3,4'!$D$2:$AN$5,3,0)</f>
        <v>0</v>
      </c>
      <c r="G41" s="33">
        <f>HLOOKUP(B41,'Điểm Lab3,4'!$D$2:$AN$5,4,0)</f>
        <v>7</v>
      </c>
    </row>
    <row r="42" spans="1:7">
      <c r="A42" s="61" t="s">
        <v>150</v>
      </c>
      <c r="B42" s="34" t="s">
        <v>151</v>
      </c>
      <c r="C42" s="35" t="s">
        <v>152</v>
      </c>
      <c r="D42" s="33">
        <f>VLOOKUP(B42,'Điểm Lab1,2'!$A$4:$C$40,2,0)</f>
        <v>6.5</v>
      </c>
      <c r="E42" s="33">
        <f>VLOOKUP(B42,'Điểm Lab1,2'!$A$4:$C$40,3,0)</f>
        <v>7.5</v>
      </c>
      <c r="F42" s="33">
        <f>HLOOKUP(B42,'Điểm Lab3,4'!$D$2:$AN$5,3,0)</f>
        <v>7</v>
      </c>
      <c r="G42" s="33">
        <f>HLOOKUP(B42,'Điểm Lab3,4'!$D$2:$AN$5,4,0)</f>
        <v>7.5</v>
      </c>
    </row>
    <row r="45" ht="15.6" spans="2:3">
      <c r="B45" s="36" t="s">
        <v>153</v>
      </c>
      <c r="C45" s="37"/>
    </row>
    <row r="46" ht="15.6" spans="2:5">
      <c r="B46" s="38" t="s">
        <v>154</v>
      </c>
      <c r="C46" s="38"/>
      <c r="D46" s="38"/>
      <c r="E46" s="38"/>
    </row>
    <row r="47" ht="15.6" spans="2:5">
      <c r="B47" s="38" t="s">
        <v>155</v>
      </c>
      <c r="C47" s="38"/>
      <c r="D47" s="38"/>
      <c r="E47" s="38"/>
    </row>
    <row r="48" ht="15.6" spans="2:5">
      <c r="B48" s="38" t="s">
        <v>156</v>
      </c>
      <c r="C48" s="38"/>
      <c r="D48" s="38"/>
      <c r="E48" s="38"/>
    </row>
    <row r="49" ht="15.6" spans="2:5">
      <c r="B49" s="38" t="s">
        <v>157</v>
      </c>
      <c r="C49" s="38"/>
      <c r="D49" s="38"/>
      <c r="E49" s="38"/>
    </row>
    <row r="50" ht="15.6" spans="2:5">
      <c r="B50" s="38"/>
      <c r="C50" s="38"/>
      <c r="D50" s="38"/>
      <c r="E50" s="38"/>
    </row>
  </sheetData>
  <mergeCells count="8">
    <mergeCell ref="D3:G3"/>
    <mergeCell ref="A3:A5"/>
    <mergeCell ref="B3:B5"/>
    <mergeCell ref="C3:C5"/>
    <mergeCell ref="D4:D5"/>
    <mergeCell ref="E4:E5"/>
    <mergeCell ref="F4:F5"/>
    <mergeCell ref="G4:G5"/>
  </mergeCells>
  <dataValidations count="1">
    <dataValidation type="decimal" operator="between" allowBlank="1" showInputMessage="1" showErrorMessage="1" error="Điểm không hợp lệ!" prompt="Chỉ nhập số 0-10" sqref="D6:D42 E6:E42 F6:F42 G6:G42">
      <formula1>0</formula1>
      <formula2>10</formula2>
    </dataValidation>
  </dataValidation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zoomScale="130" zoomScaleNormal="130" topLeftCell="A6" workbookViewId="0">
      <selection activeCell="A4" sqref="A4"/>
    </sheetView>
  </sheetViews>
  <sheetFormatPr defaultColWidth="9" defaultRowHeight="14.4" outlineLevelCol="2"/>
  <sheetData>
    <row r="1" customHeight="1" spans="1:3">
      <c r="A1" s="15" t="s">
        <v>44</v>
      </c>
      <c r="B1" s="16" t="s">
        <v>158</v>
      </c>
      <c r="C1" s="17"/>
    </row>
    <row r="2" spans="1:3">
      <c r="A2" s="18"/>
      <c r="B2" s="62" t="s">
        <v>47</v>
      </c>
      <c r="C2" s="62" t="s">
        <v>48</v>
      </c>
    </row>
    <row r="3" spans="1:3">
      <c r="A3" s="20"/>
      <c r="B3" s="21"/>
      <c r="C3" s="21"/>
    </row>
    <row r="4" ht="15.6" spans="1:3">
      <c r="A4" s="4" t="s">
        <v>51</v>
      </c>
      <c r="B4" s="11">
        <v>0</v>
      </c>
      <c r="C4" s="11">
        <v>0</v>
      </c>
    </row>
    <row r="5" ht="15.6" spans="1:3">
      <c r="A5" s="4" t="s">
        <v>53</v>
      </c>
      <c r="B5" s="11">
        <v>0</v>
      </c>
      <c r="C5" s="11">
        <v>0</v>
      </c>
    </row>
    <row r="6" ht="15.6" spans="1:3">
      <c r="A6" s="4" t="s">
        <v>55</v>
      </c>
      <c r="B6" s="11">
        <v>9</v>
      </c>
      <c r="C6" s="11">
        <v>8</v>
      </c>
    </row>
    <row r="7" ht="15.6" spans="1:3">
      <c r="A7" s="4" t="s">
        <v>57</v>
      </c>
      <c r="B7" s="11">
        <v>8</v>
      </c>
      <c r="C7" s="11">
        <v>8</v>
      </c>
    </row>
    <row r="8" ht="15.6" spans="1:3">
      <c r="A8" s="4" t="s">
        <v>60</v>
      </c>
      <c r="B8" s="11">
        <v>0</v>
      </c>
      <c r="C8" s="11">
        <v>0</v>
      </c>
    </row>
    <row r="9" ht="15.6" spans="1:3">
      <c r="A9" s="4" t="s">
        <v>63</v>
      </c>
      <c r="B9" s="11">
        <v>0</v>
      </c>
      <c r="C9" s="11">
        <v>0</v>
      </c>
    </row>
    <row r="10" ht="15.6" spans="1:3">
      <c r="A10" s="4" t="s">
        <v>66</v>
      </c>
      <c r="B10" s="11">
        <v>9</v>
      </c>
      <c r="C10" s="11">
        <v>8.5</v>
      </c>
    </row>
    <row r="11" ht="15.6" spans="1:3">
      <c r="A11" s="4" t="s">
        <v>68</v>
      </c>
      <c r="B11" s="11">
        <v>9</v>
      </c>
      <c r="C11" s="11">
        <v>7</v>
      </c>
    </row>
    <row r="12" ht="15.6" spans="1:3">
      <c r="A12" s="4" t="s">
        <v>71</v>
      </c>
      <c r="B12" s="11">
        <v>0</v>
      </c>
      <c r="C12" s="11">
        <v>8</v>
      </c>
    </row>
    <row r="13" ht="15.6" spans="1:3">
      <c r="A13" s="4" t="s">
        <v>74</v>
      </c>
      <c r="B13" s="11">
        <v>8</v>
      </c>
      <c r="C13" s="11">
        <v>8</v>
      </c>
    </row>
    <row r="14" ht="15.6" spans="1:3">
      <c r="A14" s="4" t="s">
        <v>77</v>
      </c>
      <c r="B14" s="11">
        <v>0</v>
      </c>
      <c r="C14" s="11">
        <v>0</v>
      </c>
    </row>
    <row r="15" ht="15.6" spans="1:3">
      <c r="A15" s="4" t="s">
        <v>79</v>
      </c>
      <c r="B15" s="11">
        <v>8</v>
      </c>
      <c r="C15" s="11">
        <v>5</v>
      </c>
    </row>
    <row r="16" ht="15.6" spans="1:3">
      <c r="A16" s="4" t="s">
        <v>81</v>
      </c>
      <c r="B16" s="11">
        <v>9.5</v>
      </c>
      <c r="C16" s="11">
        <v>8.5</v>
      </c>
    </row>
    <row r="17" ht="15.6" spans="1:3">
      <c r="A17" s="4" t="s">
        <v>83</v>
      </c>
      <c r="B17" s="11">
        <v>0</v>
      </c>
      <c r="C17" s="11">
        <v>0</v>
      </c>
    </row>
    <row r="18" ht="15.6" spans="1:3">
      <c r="A18" s="4" t="s">
        <v>85</v>
      </c>
      <c r="B18" s="11">
        <v>7.5</v>
      </c>
      <c r="C18" s="11">
        <v>7</v>
      </c>
    </row>
    <row r="19" ht="15.6" spans="1:3">
      <c r="A19" s="4" t="s">
        <v>88</v>
      </c>
      <c r="B19" s="11">
        <v>9</v>
      </c>
      <c r="C19" s="11">
        <v>8</v>
      </c>
    </row>
    <row r="20" ht="15.6" spans="1:3">
      <c r="A20" s="4" t="s">
        <v>91</v>
      </c>
      <c r="B20" s="11">
        <v>7.5</v>
      </c>
      <c r="C20" s="11">
        <v>8</v>
      </c>
    </row>
    <row r="21" ht="15.6" spans="1:3">
      <c r="A21" s="4" t="s">
        <v>94</v>
      </c>
      <c r="B21" s="11">
        <v>7.5</v>
      </c>
      <c r="C21" s="11">
        <v>5.5</v>
      </c>
    </row>
    <row r="22" ht="15.6" spans="1:3">
      <c r="A22" s="4" t="s">
        <v>97</v>
      </c>
      <c r="B22" s="11">
        <v>9</v>
      </c>
      <c r="C22" s="11">
        <v>9</v>
      </c>
    </row>
    <row r="23" ht="15.6" spans="1:3">
      <c r="A23" s="4" t="s">
        <v>100</v>
      </c>
      <c r="B23" s="11">
        <v>8</v>
      </c>
      <c r="C23" s="11">
        <v>8</v>
      </c>
    </row>
    <row r="24" ht="15.6" spans="1:3">
      <c r="A24" s="4" t="s">
        <v>103</v>
      </c>
      <c r="B24" s="11">
        <v>0</v>
      </c>
      <c r="C24" s="11">
        <v>0</v>
      </c>
    </row>
    <row r="25" ht="15.6" spans="1:3">
      <c r="A25" s="4" t="s">
        <v>106</v>
      </c>
      <c r="B25" s="11">
        <v>8.5</v>
      </c>
      <c r="C25" s="11">
        <v>8.5</v>
      </c>
    </row>
    <row r="26" ht="15.6" spans="1:3">
      <c r="A26" s="4" t="s">
        <v>109</v>
      </c>
      <c r="B26" s="11">
        <v>7</v>
      </c>
      <c r="C26" s="11">
        <v>6.5</v>
      </c>
    </row>
    <row r="27" ht="15.6" spans="1:3">
      <c r="A27" s="4" t="s">
        <v>112</v>
      </c>
      <c r="B27" s="11">
        <v>8</v>
      </c>
      <c r="C27" s="11">
        <v>6.5</v>
      </c>
    </row>
    <row r="28" ht="15.6" spans="1:3">
      <c r="A28" s="4" t="s">
        <v>115</v>
      </c>
      <c r="B28" s="11">
        <v>8</v>
      </c>
      <c r="C28" s="11">
        <v>0</v>
      </c>
    </row>
    <row r="29" ht="15.6" spans="1:3">
      <c r="A29" s="4" t="s">
        <v>118</v>
      </c>
      <c r="B29" s="11">
        <v>8</v>
      </c>
      <c r="C29" s="11">
        <v>6</v>
      </c>
    </row>
    <row r="30" ht="15.6" spans="1:3">
      <c r="A30" s="4" t="s">
        <v>121</v>
      </c>
      <c r="B30" s="11">
        <v>0</v>
      </c>
      <c r="C30" s="11">
        <v>5.5</v>
      </c>
    </row>
    <row r="31" ht="15.6" spans="1:3">
      <c r="A31" s="4" t="s">
        <v>124</v>
      </c>
      <c r="B31" s="11">
        <v>8.5</v>
      </c>
      <c r="C31" s="11">
        <v>9.5</v>
      </c>
    </row>
    <row r="32" ht="15.6" spans="1:3">
      <c r="A32" s="4" t="s">
        <v>127</v>
      </c>
      <c r="B32" s="11">
        <v>8.5</v>
      </c>
      <c r="C32" s="11">
        <v>7</v>
      </c>
    </row>
    <row r="33" ht="15.6" spans="1:3">
      <c r="A33" s="4" t="s">
        <v>130</v>
      </c>
      <c r="B33" s="11">
        <v>7</v>
      </c>
      <c r="C33" s="11">
        <v>7.5</v>
      </c>
    </row>
    <row r="34" ht="15.6" spans="1:3">
      <c r="A34" s="4" t="s">
        <v>133</v>
      </c>
      <c r="B34" s="11">
        <v>9</v>
      </c>
      <c r="C34" s="11">
        <v>6</v>
      </c>
    </row>
    <row r="35" ht="15.6" spans="1:3">
      <c r="A35" s="4" t="s">
        <v>136</v>
      </c>
      <c r="B35" s="11">
        <v>8.5</v>
      </c>
      <c r="C35" s="11">
        <v>6</v>
      </c>
    </row>
    <row r="36" ht="15.6" spans="1:3">
      <c r="A36" s="4" t="s">
        <v>139</v>
      </c>
      <c r="B36" s="11">
        <v>8.5</v>
      </c>
      <c r="C36" s="11">
        <v>7.5</v>
      </c>
    </row>
    <row r="37" ht="15.6" spans="1:3">
      <c r="A37" s="13" t="s">
        <v>142</v>
      </c>
      <c r="B37" s="11">
        <v>8</v>
      </c>
      <c r="C37" s="11">
        <v>0</v>
      </c>
    </row>
    <row r="38" ht="15.6" spans="1:3">
      <c r="A38" s="13" t="s">
        <v>145</v>
      </c>
      <c r="B38" s="11">
        <v>9</v>
      </c>
      <c r="C38" s="11">
        <v>6.5</v>
      </c>
    </row>
    <row r="39" ht="15.6" spans="1:3">
      <c r="A39" s="13" t="s">
        <v>148</v>
      </c>
      <c r="B39" s="11">
        <v>8</v>
      </c>
      <c r="C39" s="11">
        <v>6</v>
      </c>
    </row>
    <row r="40" ht="15.6" spans="1:3">
      <c r="A40" s="13" t="s">
        <v>151</v>
      </c>
      <c r="B40" s="11">
        <v>6.5</v>
      </c>
      <c r="C40" s="11">
        <v>7.5</v>
      </c>
    </row>
  </sheetData>
  <mergeCells count="4">
    <mergeCell ref="B1:C1"/>
    <mergeCell ref="A1:A3"/>
    <mergeCell ref="B2:B3"/>
    <mergeCell ref="C2:C3"/>
  </mergeCells>
  <dataValidations count="1">
    <dataValidation type="decimal" operator="between" allowBlank="1" showInputMessage="1" showErrorMessage="1" error="Điểm không hợp lệ!" prompt="Chỉ nhập số 0-10" sqref="B4:C36">
      <formula1>0</formula1>
      <formula2>10</formula2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N5"/>
  <sheetViews>
    <sheetView topLeftCell="V1" workbookViewId="0">
      <selection activeCell="D2" sqref="D2"/>
    </sheetView>
  </sheetViews>
  <sheetFormatPr defaultColWidth="9" defaultRowHeight="14.4" outlineLevelRow="4"/>
  <sheetData>
    <row r="2" ht="15.6" spans="1:40">
      <c r="A2" s="1" t="s">
        <v>44</v>
      </c>
      <c r="B2" s="2"/>
      <c r="C2" s="3"/>
      <c r="D2" s="4" t="s">
        <v>51</v>
      </c>
      <c r="E2" s="4" t="s">
        <v>53</v>
      </c>
      <c r="F2" s="4" t="s">
        <v>55</v>
      </c>
      <c r="G2" s="4" t="s">
        <v>57</v>
      </c>
      <c r="H2" s="4" t="s">
        <v>60</v>
      </c>
      <c r="I2" s="4" t="s">
        <v>63</v>
      </c>
      <c r="J2" s="4" t="s">
        <v>66</v>
      </c>
      <c r="K2" s="4" t="s">
        <v>68</v>
      </c>
      <c r="L2" s="4" t="s">
        <v>71</v>
      </c>
      <c r="M2" s="4" t="s">
        <v>74</v>
      </c>
      <c r="N2" s="4" t="s">
        <v>77</v>
      </c>
      <c r="O2" s="4" t="s">
        <v>79</v>
      </c>
      <c r="P2" s="4" t="s">
        <v>81</v>
      </c>
      <c r="Q2" s="4" t="s">
        <v>83</v>
      </c>
      <c r="R2" s="4" t="s">
        <v>85</v>
      </c>
      <c r="S2" s="4" t="s">
        <v>88</v>
      </c>
      <c r="T2" s="4" t="s">
        <v>91</v>
      </c>
      <c r="U2" s="4" t="s">
        <v>94</v>
      </c>
      <c r="V2" s="4" t="s">
        <v>97</v>
      </c>
      <c r="W2" s="4" t="s">
        <v>100</v>
      </c>
      <c r="X2" s="4" t="s">
        <v>103</v>
      </c>
      <c r="Y2" s="4" t="s">
        <v>106</v>
      </c>
      <c r="Z2" s="4" t="s">
        <v>109</v>
      </c>
      <c r="AA2" s="4" t="s">
        <v>112</v>
      </c>
      <c r="AB2" s="4" t="s">
        <v>115</v>
      </c>
      <c r="AC2" s="4" t="s">
        <v>118</v>
      </c>
      <c r="AD2" s="4" t="s">
        <v>121</v>
      </c>
      <c r="AE2" s="4" t="s">
        <v>124</v>
      </c>
      <c r="AF2" s="4" t="s">
        <v>127</v>
      </c>
      <c r="AG2" s="4" t="s">
        <v>130</v>
      </c>
      <c r="AH2" s="4" t="s">
        <v>133</v>
      </c>
      <c r="AI2" s="4" t="s">
        <v>136</v>
      </c>
      <c r="AJ2" s="4" t="s">
        <v>139</v>
      </c>
      <c r="AK2" s="13" t="s">
        <v>142</v>
      </c>
      <c r="AL2" s="13" t="s">
        <v>145</v>
      </c>
      <c r="AM2" s="13" t="s">
        <v>148</v>
      </c>
      <c r="AN2" s="13" t="s">
        <v>151</v>
      </c>
    </row>
    <row r="3" ht="15.6" spans="1:40">
      <c r="A3" s="5" t="s">
        <v>45</v>
      </c>
      <c r="B3" s="6"/>
      <c r="C3" s="7"/>
      <c r="D3" s="4" t="s">
        <v>52</v>
      </c>
      <c r="E3" s="4" t="s">
        <v>54</v>
      </c>
      <c r="F3" s="4" t="s">
        <v>56</v>
      </c>
      <c r="G3" s="4" t="s">
        <v>58</v>
      </c>
      <c r="H3" s="4" t="s">
        <v>61</v>
      </c>
      <c r="I3" s="4" t="s">
        <v>64</v>
      </c>
      <c r="J3" s="4" t="s">
        <v>11</v>
      </c>
      <c r="K3" s="4" t="s">
        <v>69</v>
      </c>
      <c r="L3" s="4" t="s">
        <v>72</v>
      </c>
      <c r="M3" s="4" t="s">
        <v>75</v>
      </c>
      <c r="N3" s="4" t="s">
        <v>23</v>
      </c>
      <c r="O3" s="4" t="s">
        <v>24</v>
      </c>
      <c r="P3" s="4" t="s">
        <v>25</v>
      </c>
      <c r="Q3" s="4" t="s">
        <v>26</v>
      </c>
      <c r="R3" s="4" t="s">
        <v>86</v>
      </c>
      <c r="S3" s="4" t="s">
        <v>89</v>
      </c>
      <c r="T3" s="4" t="s">
        <v>92</v>
      </c>
      <c r="U3" s="4" t="s">
        <v>95</v>
      </c>
      <c r="V3" s="4" t="s">
        <v>98</v>
      </c>
      <c r="W3" s="4" t="s">
        <v>101</v>
      </c>
      <c r="X3" s="4" t="s">
        <v>104</v>
      </c>
      <c r="Y3" s="4" t="s">
        <v>107</v>
      </c>
      <c r="Z3" s="4" t="s">
        <v>110</v>
      </c>
      <c r="AA3" s="4" t="s">
        <v>113</v>
      </c>
      <c r="AB3" s="4" t="s">
        <v>116</v>
      </c>
      <c r="AC3" s="4" t="s">
        <v>119</v>
      </c>
      <c r="AD3" s="4" t="s">
        <v>122</v>
      </c>
      <c r="AE3" s="4" t="s">
        <v>125</v>
      </c>
      <c r="AF3" s="4" t="s">
        <v>128</v>
      </c>
      <c r="AG3" s="4" t="s">
        <v>131</v>
      </c>
      <c r="AH3" s="4" t="s">
        <v>134</v>
      </c>
      <c r="AI3" s="4" t="s">
        <v>137</v>
      </c>
      <c r="AJ3" s="4" t="s">
        <v>140</v>
      </c>
      <c r="AK3" s="14" t="s">
        <v>143</v>
      </c>
      <c r="AL3" s="14" t="s">
        <v>146</v>
      </c>
      <c r="AM3" s="14" t="s">
        <v>149</v>
      </c>
      <c r="AN3" s="14" t="s">
        <v>152</v>
      </c>
    </row>
    <row r="4" spans="1:40">
      <c r="A4" s="8" t="s">
        <v>158</v>
      </c>
      <c r="B4" s="63" t="s">
        <v>49</v>
      </c>
      <c r="C4" s="10"/>
      <c r="D4" s="11">
        <v>0</v>
      </c>
      <c r="E4" s="11">
        <v>0</v>
      </c>
      <c r="F4" s="11">
        <v>7.5</v>
      </c>
      <c r="G4" s="11">
        <v>0</v>
      </c>
      <c r="H4" s="11">
        <v>0</v>
      </c>
      <c r="I4" s="11">
        <v>0</v>
      </c>
      <c r="J4" s="11">
        <v>7.5</v>
      </c>
      <c r="K4" s="11">
        <v>9.5</v>
      </c>
      <c r="L4" s="11">
        <v>9</v>
      </c>
      <c r="M4" s="11">
        <v>9.5</v>
      </c>
      <c r="N4" s="11">
        <v>0</v>
      </c>
      <c r="O4" s="11">
        <v>0</v>
      </c>
      <c r="P4" s="11">
        <v>8</v>
      </c>
      <c r="Q4" s="11">
        <v>0</v>
      </c>
      <c r="R4" s="11">
        <v>7.5</v>
      </c>
      <c r="S4" s="11">
        <v>8</v>
      </c>
      <c r="T4" s="11">
        <v>7.5</v>
      </c>
      <c r="U4" s="11">
        <v>0</v>
      </c>
      <c r="V4" s="11">
        <v>10</v>
      </c>
      <c r="W4" s="11">
        <v>7.5</v>
      </c>
      <c r="X4" s="11">
        <v>0</v>
      </c>
      <c r="Y4" s="11">
        <v>8</v>
      </c>
      <c r="Z4" s="11">
        <v>0</v>
      </c>
      <c r="AA4" s="11">
        <v>0</v>
      </c>
      <c r="AB4" s="11">
        <v>0</v>
      </c>
      <c r="AC4" s="11">
        <v>7.5</v>
      </c>
      <c r="AD4" s="11">
        <v>0</v>
      </c>
      <c r="AE4" s="11">
        <v>10</v>
      </c>
      <c r="AF4" s="11">
        <v>6</v>
      </c>
      <c r="AG4" s="11">
        <v>6</v>
      </c>
      <c r="AH4" s="11">
        <v>0</v>
      </c>
      <c r="AI4" s="11">
        <v>8</v>
      </c>
      <c r="AJ4" s="11">
        <v>5.5</v>
      </c>
      <c r="AK4" s="11">
        <v>0</v>
      </c>
      <c r="AL4" s="11">
        <v>0</v>
      </c>
      <c r="AM4" s="11">
        <v>0</v>
      </c>
      <c r="AN4" s="11">
        <v>7</v>
      </c>
    </row>
    <row r="5" spans="1:40">
      <c r="A5" s="12"/>
      <c r="B5" s="63" t="s">
        <v>50</v>
      </c>
      <c r="C5" s="10"/>
      <c r="D5" s="11">
        <v>0</v>
      </c>
      <c r="E5" s="11">
        <v>6</v>
      </c>
      <c r="F5" s="11">
        <v>9</v>
      </c>
      <c r="G5" s="11">
        <v>7</v>
      </c>
      <c r="H5" s="11">
        <v>0</v>
      </c>
      <c r="I5" s="11">
        <v>0</v>
      </c>
      <c r="J5" s="11">
        <v>7.5</v>
      </c>
      <c r="K5" s="11">
        <v>8.5</v>
      </c>
      <c r="L5" s="11">
        <v>8</v>
      </c>
      <c r="M5" s="11">
        <v>9.5</v>
      </c>
      <c r="N5" s="11">
        <v>0</v>
      </c>
      <c r="O5" s="11">
        <v>9</v>
      </c>
      <c r="P5" s="11">
        <v>9</v>
      </c>
      <c r="Q5" s="11">
        <v>0</v>
      </c>
      <c r="R5" s="11">
        <v>5</v>
      </c>
      <c r="S5" s="11">
        <v>9.5</v>
      </c>
      <c r="T5" s="11">
        <v>8.5</v>
      </c>
      <c r="U5" s="11">
        <v>6.5</v>
      </c>
      <c r="V5" s="11">
        <v>9.5</v>
      </c>
      <c r="W5" s="11">
        <v>7.5</v>
      </c>
      <c r="X5" s="11">
        <v>0</v>
      </c>
      <c r="Y5" s="11">
        <v>8.5</v>
      </c>
      <c r="Z5" s="11">
        <v>0</v>
      </c>
      <c r="AA5" s="11">
        <v>0</v>
      </c>
      <c r="AB5" s="11">
        <v>8</v>
      </c>
      <c r="AC5" s="11">
        <v>7</v>
      </c>
      <c r="AD5" s="11">
        <v>6</v>
      </c>
      <c r="AE5" s="11">
        <v>9</v>
      </c>
      <c r="AF5" s="11">
        <v>8.5</v>
      </c>
      <c r="AG5" s="11">
        <v>7</v>
      </c>
      <c r="AH5" s="11">
        <v>8.5</v>
      </c>
      <c r="AI5" s="11">
        <v>9</v>
      </c>
      <c r="AJ5" s="11">
        <v>8</v>
      </c>
      <c r="AK5" s="11">
        <v>8</v>
      </c>
      <c r="AL5" s="11">
        <v>8</v>
      </c>
      <c r="AM5" s="11">
        <v>7</v>
      </c>
      <c r="AN5" s="11">
        <v>7.5</v>
      </c>
    </row>
  </sheetData>
  <mergeCells count="5">
    <mergeCell ref="A2:C2"/>
    <mergeCell ref="A3:C3"/>
    <mergeCell ref="B4:C4"/>
    <mergeCell ref="B5:C5"/>
    <mergeCell ref="A4:A5"/>
  </mergeCells>
  <dataValidations count="1">
    <dataValidation type="decimal" operator="between" allowBlank="1" showInputMessage="1" showErrorMessage="1" error="Điểm không hợp lệ!" prompt="Chỉ nhập số 0-10" sqref="D4:AJ5">
      <formula1>0</formula1>
      <formula2>10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B1</vt:lpstr>
      <vt:lpstr>B2</vt:lpstr>
      <vt:lpstr>Điểm Lab1,2</vt:lpstr>
      <vt:lpstr>Điểm Lab3,4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LoMo</dc:creator>
  <cp:lastModifiedBy>Gia Bảo Trần</cp:lastModifiedBy>
  <dcterms:created xsi:type="dcterms:W3CDTF">2015-08-26T06:13:00Z</dcterms:created>
  <dcterms:modified xsi:type="dcterms:W3CDTF">2025-11-28T11:30:57Z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8BAB770995584BF9BCA58EE631E1111B_12</vt:lpwstr>
  </property>
  <property fmtid="{D5CDD505-2E9C-101B-9397-08002B2CF9AE}" pid="3" name="KSOProductBuildVer">
    <vt:lpwstr>1033-12.2.0.23155</vt:lpwstr>
  </property>
</Properties>
</file>